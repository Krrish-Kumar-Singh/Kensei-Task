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dabc348d9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c76ba6984f418d"/>
    <x:sheet xmlns:r="http://schemas.openxmlformats.org/officeDocument/2006/relationships" name="Current Contribution" sheetId="2" r:id="R13f78f927e544d8a"/>
    <x:sheet xmlns:r="http://schemas.openxmlformats.org/officeDocument/2006/relationships" name="Prior Draft" sheetId="3" r:id="R9646e28a2e48436d"/>
    <x:sheet xmlns:r="http://schemas.openxmlformats.org/officeDocument/2006/relationships" name="Rate Notes" sheetId="4" r:id="Rfb285edd309d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yyyy-mm-dd"/>
  </x:numFmts>
  <x:fonts count="3">
    <x:font>
      <x:sz val="11"/>
      <x:name val="Carlito"/>
    </x:font>
    <x:font>
      <x:b/>
      <x:sz val="14"/>
      <x:color rgb="222222"/>
      <x:name val="Carlito"/>
    </x:font>
    <x:font>
      <x:b/>
      <x:sz val="11"/>
      <x:color rgb="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E4D8"/>
      </x:patternFill>
    </x:fill>
    <x:fill>
      <x:patternFill patternType="solid">
        <x:fgColor rgb="D9D2C3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bb1a244604ffa" /><Relationship Type="http://schemas.openxmlformats.org/officeDocument/2006/relationships/theme" Target="/xl/theme/theme1.xml" Id="R238ea24f06af4b7c" /><Relationship Type="http://schemas.openxmlformats.org/officeDocument/2006/relationships/sharedStrings" Target="/xl/sharedStrings.xml" Id="R011c726c4fa04a94" /><Relationship Type="http://schemas.openxmlformats.org/officeDocument/2006/relationships/worksheet" Target="/xl/worksheets/sheet1.xml" Id="R23c76ba6984f418d" /><Relationship Type="http://schemas.openxmlformats.org/officeDocument/2006/relationships/worksheet" Target="/xl/worksheets/sheet2.xml" Id="R13f78f927e544d8a" /><Relationship Type="http://schemas.openxmlformats.org/officeDocument/2006/relationships/worksheet" Target="/xl/worksheets/sheet3.xml" Id="R9646e28a2e48436d" /><Relationship Type="http://schemas.openxmlformats.org/officeDocument/2006/relationships/worksheet" Target="/xl/worksheets/sheet4.xml" Id="Rfb285edd309d42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5.04999923706055" hidden="0" customWidth="1"/>
    <x:col min="2" max="2" width="22.610000610351562" hidden="0" customWidth="1"/>
    <x:col min="3" max="3" width="12.25" hidden="0" customWidth="1"/>
    <x:col min="4" max="4" width="19.649999618530273" hidden="0" customWidth="1"/>
    <x:col min="5" max="5" width="20.860000610351562" hidden="0" customWidth="1"/>
  </x:cols>
  <x:sheetData>
    <x:row r="1">
      <x:c r="A1" s="10" t="str">
        <x:v>Prairie Valley Foods Renewal Contribution Workbook</x:v>
      </x:c>
      <x:c r="B1" s="10" t="str"/>
      <x:c r="C1" s="10" t="str"/>
      <x:c r="D1" s="10" t="str"/>
      <x:c r="E1" s="10" t="str"/>
      <x:c r="F1" s="11"/>
    </x:row>
    <x:row r="2">
      <x:c r="A2" s="11" t="str">
        <x:v>Prepared by</x:v>
      </x:c>
      <x:c r="B2" s="11" t="str">
        <x:v>Meridian Benefits Group</x:v>
      </x:c>
      <x:c r="C2" s="11" t="str">
        <x:v>Workbook date</x:v>
      </x:c>
      <x:c r="D2" s="18" t="n">
        <x:v>46364</x:v>
      </x:c>
      <x:c r="E2" s="11" t="str">
        <x:v>Current review copy</x:v>
      </x:c>
      <x:c r="F2" s="11"/>
    </x:row>
    <x:row r="3">
      <x:c r="A3" s="12"/>
      <x:c r="B3" s="12"/>
      <x:c r="C3" s="12"/>
      <x:c r="D3" s="12"/>
      <x:c r="E3" s="12"/>
      <x:c r="F3" s="12"/>
    </x:row>
    <x:row r="4">
      <x:c r="A4" s="11" t="str">
        <x:v>Current employer contribution</x:v>
      </x:c>
      <x:c r="B4" s="16" t="n">
        <x:v>487250</x:v>
      </x:c>
      <x:c r="C4" s="16"/>
      <x:c r="D4" s="16"/>
      <x:c r="E4" s="16"/>
      <x:c r="F4" s="11"/>
    </x:row>
    <x:row r="5">
      <x:c r="A5" s="11" t="str">
        <x:v>UnitedHealthcare group cap</x:v>
      </x:c>
      <x:c r="B5" s="16" t="n">
        <x:v>520000</x:v>
      </x:c>
      <x:c r="C5" s="16"/>
      <x:c r="D5" s="16"/>
      <x:c r="E5" s="16"/>
      <x:c r="F5" s="11"/>
    </x:row>
    <x:row r="6">
      <x:c r="A6" s="11" t="str">
        <x:v>Amount under cap</x:v>
      </x:c>
      <x:c r="B6" s="16" t="n">
        <x:f>B5-B4</x:f>
        <x:v>32750</x:v>
      </x:c>
      <x:c r="C6" s="16"/>
      <x:c r="D6" s="16"/>
      <x:c r="E6" s="16"/>
      <x:c r="F6" s="11"/>
    </x:row>
    <x:row r="7">
      <x:c r="A7" s="11" t="str">
        <x:v>Earlier contribution worksheet</x:v>
      </x:c>
      <x:c r="B7" s="16" t="n">
        <x:v>542000</x:v>
      </x:c>
      <x:c r="C7" s="16"/>
      <x:c r="D7" s="16"/>
      <x:c r="E7" s="16"/>
      <x:c r="F7" s="11"/>
    </x:row>
    <x:row r="8">
      <x:c r="A8" s="11" t="str">
        <x:v>Status</x:v>
      </x:c>
      <x:c r="B8" s="16" t="str">
        <x:v>Within cap after rate rework</x:v>
      </x:c>
      <x:c r="C8" s="16"/>
      <x:c r="D8" s="16"/>
      <x:c r="E8" s="16"/>
      <x:c r="F8" s="11"/>
    </x:row>
    <x:row r="9">
      <x:c r="A9" s="11"/>
      <x:c r="B9" s="16"/>
      <x:c r="C9" s="16"/>
      <x:c r="D9" s="16"/>
      <x:c r="E9" s="16"/>
      <x:c r="F9" s="11"/>
    </x:row>
    <x:row r="10">
      <x:c r="A10" s="11" t="str">
        <x:v>Review item</x:v>
      </x:c>
      <x:c r="B10" s="16" t="str">
        <x:v>Source worksheet</x:v>
      </x:c>
      <x:c r="C10" s="16" t="str">
        <x:v>Value</x:v>
      </x:c>
      <x:c r="D10" s="16" t="str">
        <x:v>Owner</x:v>
      </x:c>
      <x:c r="E10" s="16" t="str">
        <x:v>Status</x:v>
      </x:c>
      <x:c r="F10" s="11"/>
    </x:row>
    <x:row r="11">
      <x:c r="A11" s="11" t="str">
        <x:v>Final contribution package</x:v>
      </x:c>
      <x:c r="B11" s="16" t="str">
        <x:v>Current Contribution</x:v>
      </x:c>
      <x:c r="C11" s="16" t="n">
        <x:v>487250</x:v>
      </x:c>
      <x:c r="D11" s="16" t="str">
        <x:v>Christopher Morris</x:v>
      </x:c>
      <x:c r="E11" s="16" t="str">
        <x:v>ready for signature review</x:v>
      </x:c>
      <x:c r="F11" s="11"/>
    </x:row>
    <x:row r="12">
      <x:c r="A12" s="11" t="str">
        <x:v>Group cap check</x:v>
      </x:c>
      <x:c r="B12" s="16" t="str">
        <x:v>Current Contribution</x:v>
      </x:c>
      <x:c r="C12" s="16" t="n">
        <x:v>520000</x:v>
      </x:c>
      <x:c r="D12" s="16" t="str">
        <x:v>Christopher Morris</x:v>
      </x:c>
      <x:c r="E12" s="16" t="str">
        <x:v>inside cap</x:v>
      </x:c>
      <x:c r="F12" s="11"/>
    </x:row>
    <x:row r="13">
      <x:c r="A13" s="11" t="str">
        <x:v>Initial draft worksheet</x:v>
      </x:c>
      <x:c r="B13" s="16" t="str">
        <x:v>Prior Draft</x:v>
      </x:c>
      <x:c r="C13" s="16" t="n">
        <x:v>542000</x:v>
      </x:c>
      <x:c r="D13" s="16" t="str">
        <x:v>Meridian Benefits Group</x:v>
      </x:c>
      <x:c r="E13" s="16" t="str">
        <x:v>older worksheet</x:v>
      </x:c>
      <x:c r="F13" s="11"/>
    </x:row>
    <x:row r="14">
      <x:c r="A14" s="11" t="str">
        <x:v>Carrier filing package</x:v>
      </x:c>
      <x:c r="B14" s="16" t="str">
        <x:v>Rate Notes</x:v>
      </x:c>
      <x:c r="C14" s="16" t="str">
        <x:v>review pending</x:v>
      </x:c>
      <x:c r="D14" s="16" t="str">
        <x:v>Richard Okonkwo</x:v>
      </x:c>
      <x:c r="E14" s="16" t="str">
        <x:v>signature workflow open</x:v>
      </x:c>
      <x:c r="F14" s="11"/>
    </x:row>
    <x:row r="15">
      <x:c r="A15" s="11"/>
      <x:c r="B15" s="16"/>
      <x:c r="C15" s="16"/>
      <x:c r="D15" s="16"/>
      <x:c r="E15" s="16"/>
      <x:c r="F15" s="11"/>
    </x:row>
    <x:row r="16">
      <x:c r="A16" s="11"/>
      <x:c r="B16" s="16"/>
      <x:c r="C16" s="16"/>
      <x:c r="D16" s="16"/>
      <x:c r="E16" s="16"/>
      <x:c r="F16" s="11"/>
    </x:row>
    <x:row r="17">
      <x:c r="A17" s="11"/>
      <x:c r="B17" s="16"/>
      <x:c r="C17" s="16"/>
      <x:c r="D17" s="16"/>
      <x:c r="E17" s="16"/>
      <x:c r="F17" s="11"/>
    </x:row>
    <x:row r="18">
      <x:c r="A18" s="11"/>
      <x:c r="B18" s="16"/>
      <x:c r="C18" s="16"/>
      <x:c r="D18" s="16"/>
      <x:c r="E18" s="16"/>
      <x:c r="F18" s="11"/>
    </x:row>
    <x:row r="19">
      <x:c r="A19" s="11"/>
      <x:c r="B19" s="16"/>
      <x:c r="C19" s="16"/>
      <x:c r="D19" s="16"/>
      <x:c r="E19" s="16"/>
      <x:c r="F19" s="11"/>
    </x:row>
    <x:row r="20">
      <x:c r="A20" s="11"/>
      <x:c r="B20" s="16"/>
      <x:c r="C20" s="16"/>
      <x:c r="D20" s="16"/>
      <x:c r="E20" s="16"/>
      <x:c r="F20" s="1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0.20000076293945" hidden="0" customWidth="1"/>
    <x:col min="2" max="2" width="20.59000015258789" hidden="0" customWidth="1"/>
    <x:col min="3" max="3" width="13.59000015258789" hidden="0" customWidth="1"/>
    <x:col min="4" max="4" width="20.049999237060547" hidden="0" customWidth="1"/>
    <x:col min="5" max="5" width="18.979999542236328" hidden="0" customWidth="1"/>
    <x:col min="6" max="6" width="26.780000686645508" hidden="0" customWidth="1"/>
  </x:cols>
  <x:sheetData>
    <x:row r="1">
      <x:c r="A1" s="10" t="str">
        <x:v>Prairie Valley Foods 2026 Employer Contribution</x:v>
      </x:c>
      <x:c r="B1" s="10" t="str"/>
      <x:c r="C1" s="10" t="str"/>
      <x:c r="D1" s="10" t="str"/>
      <x:c r="E1" s="10" t="str"/>
      <x:c r="F1" s="11" t="str"/>
    </x:row>
    <x:row r="2">
      <x:c r="A2" s="11"/>
      <x:c r="B2" s="11"/>
      <x:c r="C2" s="11"/>
      <x:c r="D2" s="11"/>
      <x:c r="E2" s="11"/>
      <x:c r="F2" s="11"/>
    </x:row>
    <x:row r="3">
      <x:c r="A3" s="12" t="str">
        <x:v>Line</x:v>
      </x:c>
      <x:c r="B3" s="12" t="str">
        <x:v>Coverage tier</x:v>
      </x:c>
      <x:c r="C3" s="12" t="str">
        <x:v>Enrollment band</x:v>
      </x:c>
      <x:c r="D3" s="12" t="str">
        <x:v>Monthly employer share</x:v>
      </x:c>
      <x:c r="E3" s="12" t="str">
        <x:v>Annual employer share</x:v>
      </x:c>
      <x:c r="F3" s="12" t="str">
        <x:v>Review note</x:v>
      </x:c>
    </x:row>
    <x:row r="4">
      <x:c r="A4" s="11" t="n">
        <x:v>1</x:v>
      </x:c>
      <x:c r="B4" s="16" t="str">
        <x:v>Employee only</x:v>
      </x:c>
      <x:c r="C4" s="16" t="str">
        <x:v>Tier A</x:v>
      </x:c>
      <x:c r="D4" s="16" t="n">
        <x:v>11750</x:v>
      </x:c>
      <x:c r="E4" s="16" t="n">
        <x:f>D4*12</x:f>
        <x:v>141000</x:v>
      </x:c>
      <x:c r="F4" s="11" t="str">
        <x:v>rate rework applied</x:v>
      </x:c>
    </x:row>
    <x:row r="5">
      <x:c r="A5" s="11" t="n">
        <x:v>2</x:v>
      </x:c>
      <x:c r="B5" s="16" t="str">
        <x:v>Employee plus spouse</x:v>
      </x:c>
      <x:c r="C5" s="16" t="str">
        <x:v>Tier B</x:v>
      </x:c>
      <x:c r="D5" s="16" t="n">
        <x:v>9850</x:v>
      </x:c>
      <x:c r="E5" s="16" t="n">
        <x:f>D5*12</x:f>
        <x:v>118200</x:v>
      </x:c>
      <x:c r="F5" s="11" t="str">
        <x:v>rate rework applied</x:v>
      </x:c>
    </x:row>
    <x:row r="6">
      <x:c r="A6" s="11" t="n">
        <x:v>3</x:v>
      </x:c>
      <x:c r="B6" s="16" t="str">
        <x:v>Employee plus children</x:v>
      </x:c>
      <x:c r="C6" s="16" t="str">
        <x:v>Tier C</x:v>
      </x:c>
      <x:c r="D6" s="16" t="n">
        <x:v>8600</x:v>
      </x:c>
      <x:c r="E6" s="16" t="n">
        <x:f>D6*12</x:f>
        <x:v>103200</x:v>
      </x:c>
      <x:c r="F6" s="11" t="str">
        <x:v>rate rework applied</x:v>
      </x:c>
    </x:row>
    <x:row r="7">
      <x:c r="A7" s="11" t="n">
        <x:v>4</x:v>
      </x:c>
      <x:c r="B7" s="16" t="str">
        <x:v>Family coverage</x:v>
      </x:c>
      <x:c r="C7" s="16" t="str">
        <x:v>Tier D</x:v>
      </x:c>
      <x:c r="D7" s="16" t="n">
        <x:v>12001.67</x:v>
      </x:c>
      <x:c r="E7" s="16" t="n">
        <x:v>144020</x:v>
      </x:c>
      <x:c r="F7" s="11" t="str">
        <x:v>rate rework applied</x:v>
      </x:c>
    </x:row>
    <x:row r="8">
      <x:c r="A8" s="11" t="n">
        <x:v>5</x:v>
      </x:c>
      <x:c r="B8" s="16" t="str">
        <x:v>Plan administration credit</x:v>
      </x:c>
      <x:c r="C8" s="16" t="str">
        <x:v>Adjustment</x:v>
      </x:c>
      <x:c r="D8" s="16" t="n">
        <x:v>-19170</x:v>
      </x:c>
      <x:c r="E8" s="16" t="n">
        <x:f>D8</x:f>
        <x:v>-19170</x:v>
      </x:c>
      <x:c r="F8" s="11" t="str">
        <x:v>annual adjustment</x:v>
      </x:c>
    </x:row>
    <x:row r="9">
      <x:c r="A9" s="11"/>
      <x:c r="B9" s="16"/>
      <x:c r="C9" s="16"/>
      <x:c r="D9" s="16"/>
      <x:c r="E9" s="16"/>
      <x:c r="F9" s="11"/>
    </x:row>
    <x:row r="10">
      <x:c r="A10" s="11" t="str">
        <x:v>Calculated employer contribution</x:v>
      </x:c>
      <x:c r="B10" s="16" t="n">
        <x:f>SUM(E4:E8)</x:f>
        <x:v>487250</x:v>
      </x:c>
      <x:c r="C10" s="16"/>
      <x:c r="D10" s="16" t="str">
        <x:v>Reviewer</x:v>
      </x:c>
      <x:c r="E10" s="16" t="str">
        <x:v>Date</x:v>
      </x:c>
      <x:c r="F10" s="11" t="str">
        <x:v>Note</x:v>
      </x:c>
    </x:row>
    <x:row r="11">
      <x:c r="A11" s="11" t="str">
        <x:v>Confirmed current total used for filing review</x:v>
      </x:c>
      <x:c r="B11" s="16" t="n">
        <x:v>487250</x:v>
      </x:c>
      <x:c r="C11" s="16"/>
      <x:c r="D11" s="16" t="str">
        <x:v>Christopher Morris</x:v>
      </x:c>
      <x:c r="E11" s="18" t="n">
        <x:v>46364</x:v>
      </x:c>
      <x:c r="F11" s="11" t="str">
        <x:v>reworked after cap check</x:v>
      </x:c>
    </x:row>
    <x:row r="12">
      <x:c r="A12" s="11" t="str">
        <x:v>UnitedHealthcare group cap</x:v>
      </x:c>
      <x:c r="B12" s="16" t="n">
        <x:v>520000</x:v>
      </x:c>
      <x:c r="C12" s="16"/>
      <x:c r="D12" s="16" t="str">
        <x:v>Elena Vasquez</x:v>
      </x:c>
      <x:c r="E12" s="18" t="n">
        <x:v>46364</x:v>
      </x:c>
      <x:c r="F12" s="11" t="str">
        <x:v>HR contribution review complete</x:v>
      </x:c>
    </x:row>
    <x:row r="13">
      <x:c r="A13" s="11" t="str">
        <x:v>Cap headroom</x:v>
      </x:c>
      <x:c r="B13" s="16" t="n">
        <x:f>B12-B11</x:f>
        <x:v>32750</x:v>
      </x:c>
      <x:c r="C13" s="16"/>
      <x:c r="D13" s="16" t="str">
        <x:v>Richard Okonkwo</x:v>
      </x:c>
      <x:c r="E13" s="18" t="str"/>
      <x:c r="F13" s="11" t="str">
        <x:v>signature workflow remains open</x:v>
      </x:c>
    </x:row>
    <x:row r="14">
      <x:c r="A14" s="11" t="str">
        <x:v>Contribution review status</x:v>
      </x:c>
      <x:c r="B14" s="16" t="str">
        <x:v>inside cap</x:v>
      </x:c>
      <x:c r="C14" s="16"/>
      <x:c r="D14" s="16"/>
      <x:c r="E14" s="16"/>
      <x:c r="F14" s="11"/>
    </x:row>
    <x:row r="15">
      <x:c r="A15" s="11"/>
      <x:c r="B15" s="16"/>
      <x:c r="C15" s="16"/>
      <x:c r="D15" s="16"/>
      <x:c r="E15" s="16"/>
      <x:c r="F15" s="11"/>
    </x:row>
    <x:row r="16">
      <x:c r="A16" s="11"/>
      <x:c r="B16" s="16"/>
      <x:c r="C16" s="16"/>
      <x:c r="D16" s="16"/>
      <x:c r="E16" s="16"/>
      <x:c r="F16" s="11"/>
    </x:row>
    <x:row r="17">
      <x:c r="A17" s="11"/>
      <x:c r="B17" s="16"/>
      <x:c r="C17" s="16"/>
      <x:c r="D17" s="16"/>
      <x:c r="E17" s="16"/>
      <x:c r="F17" s="11"/>
    </x:row>
    <x:row r="18">
      <x:c r="A18" s="11"/>
      <x:c r="B18" s="16"/>
      <x:c r="C18" s="16"/>
      <x:c r="D18" s="16"/>
      <x:c r="E18" s="16"/>
      <x:c r="F18" s="11"/>
    </x:row>
    <x:row r="19">
      <x:c r="A19" s="11"/>
      <x:c r="B19" s="16"/>
      <x:c r="C19" s="16"/>
      <x:c r="D19" s="16"/>
      <x:c r="E19" s="16"/>
      <x:c r="F19" s="11"/>
    </x:row>
    <x:row r="20">
      <x:c r="A20" s="11"/>
      <x:c r="B20" s="16"/>
      <x:c r="C20" s="16"/>
      <x:c r="D20" s="16"/>
      <x:c r="E20" s="16"/>
      <x:c r="F20" s="11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.7400016784668" hidden="0" customWidth="1"/>
    <x:col min="2" max="2" width="19.649999618530273" hidden="0" customWidth="1"/>
    <x:col min="3" max="3" width="21.530000686645508" hidden="0" customWidth="1"/>
    <x:col min="4" max="4" width="20.190000534057617" hidden="0" customWidth="1"/>
  </x:cols>
  <x:sheetData>
    <x:row r="1">
      <x:c r="A1" s="10" t="str">
        <x:v>Initial Contribution Draft Log</x:v>
      </x:c>
      <x:c r="B1" s="10" t="str"/>
      <x:c r="C1" s="10" t="str"/>
      <x:c r="D1" s="10" t="str"/>
      <x:c r="E1" s="10"/>
      <x:c r="F1" s="11"/>
    </x:row>
    <x:row r="2">
      <x:c r="A2" s="11"/>
      <x:c r="B2" s="11"/>
      <x:c r="C2" s="11"/>
      <x:c r="D2" s="11"/>
      <x:c r="E2" s="11"/>
      <x:c r="F2" s="11"/>
    </x:row>
    <x:row r="3">
      <x:c r="A3" s="12" t="str">
        <x:v>Version</x:v>
      </x:c>
      <x:c r="B3" s="12" t="str">
        <x:v>Worksheet date</x:v>
      </x:c>
      <x:c r="C3" s="12" t="str">
        <x:v>Amount</x:v>
      </x:c>
      <x:c r="D3" s="12" t="str">
        <x:v>Worksheet note</x:v>
      </x:c>
      <x:c r="E3" s="12"/>
      <x:c r="F3" s="12"/>
    </x:row>
    <x:row r="4">
      <x:c r="A4" s="11" t="str">
        <x:v>early draft</x:v>
      </x:c>
      <x:c r="B4" s="18" t="n">
        <x:v>46347</x:v>
      </x:c>
      <x:c r="C4" s="16" t="n">
        <x:v>542000</x:v>
      </x:c>
      <x:c r="D4" s="16" t="str">
        <x:v>before cap adjustment</x:v>
      </x:c>
      <x:c r="E4" s="16"/>
      <x:c r="F4" s="11"/>
    </x:row>
    <x:row r="5">
      <x:c r="A5" s="11" t="str">
        <x:v>rate review mark</x:v>
      </x:c>
      <x:c r="B5" s="18" t="n">
        <x:v>46358</x:v>
      </x:c>
      <x:c r="C5" s="16" t="n">
        <x:v>508600</x:v>
      </x:c>
      <x:c r="D5" s="16" t="str">
        <x:v>intermediate worksheet</x:v>
      </x:c>
      <x:c r="E5" s="16"/>
      <x:c r="F5" s="11"/>
    </x:row>
    <x:row r="6">
      <x:c r="A6" s="11" t="str">
        <x:v>current handoff</x:v>
      </x:c>
      <x:c r="B6" s="18" t="n">
        <x:v>46364</x:v>
      </x:c>
      <x:c r="C6" s="16" t="n">
        <x:v>487250</x:v>
      </x:c>
      <x:c r="D6" s="16" t="str">
        <x:v>carried into active review</x:v>
      </x:c>
      <x:c r="E6" s="16"/>
      <x:c r="F6" s="11"/>
    </x:row>
    <x:row r="7">
      <x:c r="A7" s="11" t="str">
        <x:v>cap value</x:v>
      </x:c>
      <x:c r="B7" s="18" t="n">
        <x:v>46364</x:v>
      </x:c>
      <x:c r="C7" s="16" t="n">
        <x:v>520000</x:v>
      </x:c>
      <x:c r="D7" s="16" t="str">
        <x:v>UHC group cap</x:v>
      </x:c>
      <x:c r="E7" s="16"/>
      <x:c r="F7" s="11"/>
    </x:row>
    <x:row r="8">
      <x:c r="A8" s="11"/>
      <x:c r="B8" s="16"/>
      <x:c r="C8" s="16"/>
      <x:c r="D8" s="16"/>
      <x:c r="E8" s="16"/>
      <x:c r="F8" s="11"/>
    </x:row>
    <x:row r="9">
      <x:c r="A9" s="11" t="str">
        <x:v>Audit note</x:v>
      </x:c>
      <x:c r="B9" s="16" t="str">
        <x:v>Prepared by</x:v>
      </x:c>
      <x:c r="C9" s="16" t="str">
        <x:v>Filed location</x:v>
      </x:c>
      <x:c r="D9" s="16" t="str">
        <x:v>Retention</x:v>
      </x:c>
      <x:c r="E9" s="16"/>
      <x:c r="F9" s="11"/>
    </x:row>
    <x:row r="10">
      <x:c r="A10" s="11" t="str">
        <x:v>Early estimate kept for renewal audit trail</x:v>
      </x:c>
      <x:c r="B10" s="16" t="str">
        <x:v>Meridian Benefits Group</x:v>
      </x:c>
      <x:c r="C10" s="16" t="str">
        <x:v>Prairie Valley client folder</x:v>
      </x:c>
      <x:c r="D10" s="16" t="str">
        <x:v>retain through filing cycle</x:v>
      </x:c>
      <x:c r="E10" s="16"/>
      <x:c r="F10" s="11"/>
    </x:row>
    <x:row r="11">
      <x:c r="A11" s="11" t="str">
        <x:v>Later workbook controls contribution package</x:v>
      </x:c>
      <x:c r="B11" s="16" t="str">
        <x:v>Christopher Morris</x:v>
      </x:c>
      <x:c r="C11" s="16" t="str">
        <x:v>Current Contribution sheet</x:v>
      </x:c>
      <x:c r="D11" s="16" t="str">
        <x:v>active review</x:v>
      </x:c>
      <x:c r="E11" s="16"/>
      <x:c r="F11" s="11"/>
    </x:row>
    <x:row r="12">
      <x:c r="A12" s="11" t="str">
        <x:v>CFO workflow tracked outside this workbook</x:v>
      </x:c>
      <x:c r="B12" s="16" t="str">
        <x:v>Meridian Benefits Group</x:v>
      </x:c>
      <x:c r="C12" s="16" t="str">
        <x:v>signature system</x:v>
      </x:c>
      <x:c r="D12" s="16" t="str">
        <x:v>open</x:v>
      </x:c>
      <x:c r="E12" s="16"/>
      <x:c r="F12" s="11"/>
    </x:row>
    <x:row r="13">
      <x:c r="A13" s="11"/>
      <x:c r="B13" s="16"/>
      <x:c r="C13" s="16"/>
      <x:c r="D13" s="16"/>
      <x:c r="E13" s="16"/>
      <x:c r="F13" s="11"/>
    </x:row>
    <x:row r="14">
      <x:c r="A14" s="11"/>
      <x:c r="B14" s="16"/>
      <x:c r="C14" s="16"/>
      <x:c r="D14" s="16"/>
      <x:c r="E14" s="16"/>
      <x:c r="F14" s="11"/>
    </x:row>
    <x:row r="15">
      <x:c r="A15" s="11"/>
      <x:c r="B15" s="16"/>
      <x:c r="C15" s="16"/>
      <x:c r="D15" s="16"/>
      <x:c r="E15" s="16"/>
      <x:c r="F15" s="11"/>
    </x:row>
    <x:row r="16">
      <x:c r="A16" s="11"/>
      <x:c r="B16" s="16"/>
      <x:c r="C16" s="16"/>
      <x:c r="D16" s="16"/>
      <x:c r="E16" s="16"/>
      <x:c r="F16" s="11"/>
    </x:row>
    <x:row r="17">
      <x:c r="A17" s="11"/>
      <x:c r="B17" s="16"/>
      <x:c r="C17" s="16"/>
      <x:c r="D17" s="16"/>
      <x:c r="E17" s="16"/>
      <x:c r="F17" s="11"/>
    </x:row>
    <x:row r="18">
      <x:c r="A18" s="11"/>
      <x:c r="B18" s="16"/>
      <x:c r="C18" s="16"/>
      <x:c r="D18" s="16"/>
      <x:c r="E18" s="16"/>
      <x:c r="F18" s="11"/>
    </x:row>
    <x:row r="19">
      <x:c r="A19" s="11"/>
      <x:c r="B19" s="16"/>
      <x:c r="C19" s="16"/>
      <x:c r="D19" s="16"/>
      <x:c r="E19" s="16"/>
      <x:c r="F19" s="11"/>
    </x:row>
    <x:row r="20">
      <x:c r="A20" s="11"/>
      <x:c r="B20" s="16"/>
      <x:c r="C20" s="16"/>
      <x:c r="D20" s="16"/>
      <x:c r="E20" s="16"/>
      <x:c r="F20" s="11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.7599983215332" hidden="0" customWidth="1"/>
    <x:col min="2" max="2" width="27.989999771118164" hidden="0" customWidth="1"/>
    <x:col min="3" max="3" width="18.709999084472656" hidden="0" customWidth="1"/>
    <x:col min="4" max="4" width="13.0600004196167" hidden="0" customWidth="1"/>
    <x:col min="5" max="5" width="25.84000015258789" hidden="0" customWidth="1"/>
  </x:cols>
  <x:sheetData>
    <x:row r="1">
      <x:c r="A1" s="10" t="str">
        <x:v>UnitedHealthcare Rate Rework Notes</x:v>
      </x:c>
      <x:c r="B1" s="10" t="str"/>
      <x:c r="C1" s="10" t="str"/>
      <x:c r="D1" s="10" t="str"/>
      <x:c r="E1" s="10" t="str"/>
      <x:c r="F1" s="11"/>
    </x:row>
    <x:row r="2">
      <x:c r="A2" s="11"/>
      <x:c r="B2" s="11"/>
      <x:c r="C2" s="11"/>
      <x:c r="D2" s="11"/>
      <x:c r="E2" s="11"/>
      <x:c r="F2" s="11"/>
    </x:row>
    <x:row r="3">
      <x:c r="A3" s="12" t="str">
        <x:v>Date</x:v>
      </x:c>
      <x:c r="B3" s="12" t="str">
        <x:v>Item</x:v>
      </x:c>
      <x:c r="C3" s="12" t="str">
        <x:v>Old worksheet amount</x:v>
      </x:c>
      <x:c r="D3" s="12" t="str">
        <x:v>Current amount</x:v>
      </x:c>
      <x:c r="E3" s="12" t="str">
        <x:v>Note</x:v>
      </x:c>
      <x:c r="F3" s="12"/>
    </x:row>
    <x:row r="4">
      <x:c r="A4" s="18" t="n">
        <x:v>46347</x:v>
      </x:c>
      <x:c r="B4" s="16" t="str">
        <x:v>Initial draft estimate</x:v>
      </x:c>
      <x:c r="C4" s="16" t="n">
        <x:v>542000</x:v>
      </x:c>
      <x:c r="D4" s="16" t="str"/>
      <x:c r="E4" s="16" t="str">
        <x:v>before re-tiering</x:v>
      </x:c>
      <x:c r="F4" s="11"/>
    </x:row>
    <x:row r="5">
      <x:c r="A5" s="18" t="n">
        <x:v>46358</x:v>
      </x:c>
      <x:c r="B5" s="16" t="str">
        <x:v>Rate rework pass</x:v>
      </x:c>
      <x:c r="C5" s="16" t="n">
        <x:v>508600</x:v>
      </x:c>
      <x:c r="D5" s="16" t="n">
        <x:v>492300</x:v>
      </x:c>
      <x:c r="E5" s="16" t="str">
        <x:v>carrier adjustment applied</x:v>
      </x:c>
      <x:c r="F5" s="11"/>
    </x:row>
    <x:row r="6">
      <x:c r="A6" s="18" t="n">
        <x:v>46364</x:v>
      </x:c>
      <x:c r="B6" s="16" t="str">
        <x:v>Final employer contribution review</x:v>
      </x:c>
      <x:c r="C6" s="16" t="str"/>
      <x:c r="D6" s="16" t="n">
        <x:v>487250</x:v>
      </x:c>
      <x:c r="E6" s="16" t="str">
        <x:v>current workbook amount</x:v>
      </x:c>
      <x:c r="F6" s="11"/>
    </x:row>
    <x:row r="7">
      <x:c r="A7" s="18" t="n">
        <x:v>46364</x:v>
      </x:c>
      <x:c r="B7" s="16" t="str">
        <x:v>Group cap</x:v>
      </x:c>
      <x:c r="C7" s="16" t="str"/>
      <x:c r="D7" s="16" t="n">
        <x:v>520000</x:v>
      </x:c>
      <x:c r="E7" s="16" t="str">
        <x:v>cap check</x:v>
      </x:c>
      <x:c r="F7" s="11"/>
    </x:row>
    <x:row r="8">
      <x:c r="A8" s="18" t="n">
        <x:v>46364</x:v>
      </x:c>
      <x:c r="B8" s="16" t="str">
        <x:v>Headroom</x:v>
      </x:c>
      <x:c r="C8" s="16" t="str"/>
      <x:c r="D8" s="16" t="n">
        <x:v>32750</x:v>
      </x:c>
      <x:c r="E8" s="16" t="str">
        <x:v>inside cap</x:v>
      </x:c>
      <x:c r="F8" s="11"/>
    </x:row>
    <x:row r="9">
      <x:c r="A9" s="18" t="n">
        <x:v>46364</x:v>
      </x:c>
      <x:c r="B9" s="16" t="str">
        <x:v>Filing review</x:v>
      </x:c>
      <x:c r="C9" s="16" t="str"/>
      <x:c r="D9" s="16" t="str"/>
      <x:c r="E9" s="16" t="str">
        <x:v>awaiting authorization workflow</x:v>
      </x:c>
      <x:c r="F9" s="11"/>
    </x:row>
    <x:row r="10">
      <x:c r="A10" s="11"/>
      <x:c r="B10" s="16"/>
      <x:c r="C10" s="16"/>
      <x:c r="D10" s="16"/>
      <x:c r="E10" s="16"/>
      <x:c r="F10" s="11"/>
    </x:row>
    <x:row r="11">
      <x:c r="A11" s="11"/>
      <x:c r="B11" s="16"/>
      <x:c r="C11" s="16"/>
      <x:c r="D11" s="16"/>
      <x:c r="E11" s="16"/>
      <x:c r="F11" s="11"/>
    </x:row>
    <x:row r="12">
      <x:c r="A12" s="11"/>
      <x:c r="B12" s="16"/>
      <x:c r="C12" s="16"/>
      <x:c r="D12" s="16"/>
      <x:c r="E12" s="16"/>
      <x:c r="F12" s="11"/>
    </x:row>
    <x:row r="13">
      <x:c r="A13" s="11"/>
      <x:c r="B13" s="16"/>
      <x:c r="C13" s="16"/>
      <x:c r="D13" s="16"/>
      <x:c r="E13" s="16"/>
      <x:c r="F13" s="11"/>
    </x:row>
    <x:row r="14">
      <x:c r="A14" s="11"/>
      <x:c r="B14" s="16"/>
      <x:c r="C14" s="16"/>
      <x:c r="D14" s="16"/>
      <x:c r="E14" s="16"/>
      <x:c r="F14" s="11"/>
    </x:row>
    <x:row r="15">
      <x:c r="A15" s="11"/>
      <x:c r="B15" s="16"/>
      <x:c r="C15" s="16"/>
      <x:c r="D15" s="16"/>
      <x:c r="E15" s="16"/>
      <x:c r="F15" s="11"/>
    </x:row>
    <x:row r="16">
      <x:c r="A16" s="11"/>
      <x:c r="B16" s="16"/>
      <x:c r="C16" s="16"/>
      <x:c r="D16" s="16"/>
      <x:c r="E16" s="16"/>
      <x:c r="F16" s="11"/>
    </x:row>
    <x:row r="17">
      <x:c r="A17" s="11"/>
      <x:c r="B17" s="16"/>
      <x:c r="C17" s="16"/>
      <x:c r="D17" s="16"/>
      <x:c r="E17" s="16"/>
      <x:c r="F17" s="11"/>
    </x:row>
    <x:row r="18">
      <x:c r="A18" s="11"/>
      <x:c r="B18" s="16"/>
      <x:c r="C18" s="16"/>
      <x:c r="D18" s="16"/>
      <x:c r="E18" s="16"/>
      <x:c r="F18" s="11"/>
    </x:row>
    <x:row r="19">
      <x:c r="A19" s="11"/>
      <x:c r="B19" s="16"/>
      <x:c r="C19" s="16"/>
      <x:c r="D19" s="16"/>
      <x:c r="E19" s="16"/>
      <x:c r="F19" s="11"/>
    </x:row>
    <x:row r="20">
      <x:c r="A20" s="11"/>
      <x:c r="B20" s="16"/>
      <x:c r="C20" s="16"/>
      <x:c r="D20" s="16"/>
      <x:c r="E20" s="16"/>
      <x:c r="F20" s="11"/>
    </x:row>
  </x:sheetData>
  <x:mergeCells>
    <x:mergeCell ref="A1:E1"/>
  </x:mergeCells>
  <x:pageMargins left="0.7" right="0.7" top="0.75" bottom="0.75" header="0.3" footer="0.3"/>
</x:worksheet>
</file>